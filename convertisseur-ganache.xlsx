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iss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&quot;g&quot;"/>
  </numFmts>
  <fonts count="14">
    <font>
      <name val="Calibri"/>
      <family val="2"/>
      <color theme="1"/>
      <sz val="11"/>
      <scheme val="minor"/>
    </font>
    <font>
      <name val="Georgia"/>
      <b val="1"/>
      <color rgb="00C8A04A"/>
      <sz val="18"/>
    </font>
    <font>
      <name val="Georgia"/>
      <color rgb="00E8D5A0"/>
      <sz val="12"/>
    </font>
    <font>
      <name val="Georgia"/>
      <b val="1"/>
      <color rgb="00C8A04A"/>
      <sz val="14"/>
    </font>
    <font>
      <name val="Arial"/>
      <color rgb="00E8D5A0"/>
      <sz val="11"/>
    </font>
    <font>
      <name val="Arial"/>
      <b val="1"/>
      <color rgb="001A1410"/>
      <sz val="14"/>
    </font>
    <font>
      <name val="Arial"/>
      <color rgb="00FDF8F0"/>
      <sz val="11"/>
    </font>
    <font>
      <name val="Georgia"/>
      <b val="1"/>
      <color rgb="00C8A04A"/>
      <sz val="16"/>
    </font>
    <font>
      <name val="Arial"/>
      <color rgb="00E8D5A0"/>
      <sz val="12"/>
    </font>
    <font>
      <name val="Arial"/>
      <b val="1"/>
      <color rgb="00C8A04A"/>
      <sz val="12"/>
    </font>
    <font>
      <name val="Arial"/>
      <i val="1"/>
      <color rgb="00E8D5A0"/>
      <sz val="10"/>
    </font>
    <font>
      <name val="Arial"/>
      <b val="1"/>
      <color rgb="001A1410"/>
      <sz val="10"/>
    </font>
    <font>
      <name val="Arial"/>
      <color rgb="001A1410"/>
      <sz val="10"/>
    </font>
    <font>
      <name val="Arial"/>
      <i val="1"/>
      <color rgb="006B6460"/>
      <sz val="9"/>
    </font>
  </fonts>
  <fills count="8">
    <fill>
      <patternFill/>
    </fill>
    <fill>
      <patternFill patternType="gray125"/>
    </fill>
    <fill>
      <patternFill patternType="solid">
        <fgColor rgb="001A1410"/>
      </patternFill>
    </fill>
    <fill>
      <patternFill patternType="solid">
        <fgColor rgb="00FFFFFF"/>
      </patternFill>
    </fill>
    <fill>
      <patternFill patternType="solid">
        <fgColor rgb="002A1F18"/>
      </patternFill>
    </fill>
    <fill>
      <patternFill patternType="solid">
        <fgColor rgb="00C8A04A"/>
      </patternFill>
    </fill>
    <fill>
      <patternFill patternType="solid">
        <fgColor rgb="00FDF8F0"/>
      </patternFill>
    </fill>
    <fill>
      <patternFill patternType="solid">
        <fgColor rgb="00F5EDE0"/>
      </patternFill>
    </fill>
  </fills>
  <borders count="2">
    <border>
      <left/>
      <right/>
      <top/>
      <bottom/>
      <diagonal/>
    </border>
    <border>
      <left style="thin">
        <color rgb="00C8A04A"/>
      </left>
      <right style="thin">
        <color rgb="00C8A04A"/>
      </right>
      <top style="thin">
        <color rgb="00C8A04A"/>
      </top>
      <bottom style="thin">
        <color rgb="00C8A04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6" fillId="4" borderId="0" pivotButton="0" quotePrefix="0" xfId="0"/>
    <xf numFmtId="164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6" fillId="2" borderId="0" pivotButton="0" quotePrefix="0" xfId="0"/>
    <xf numFmtId="0" fontId="1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A04A"/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5" customWidth="1" min="4" max="4"/>
    <col width="32" customWidth="1" min="5" max="5"/>
    <col width="18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" t="n"/>
      <c r="B2" s="2" t="inlineStr">
        <is>
          <t>Convertisseur de Ganache</t>
        </is>
      </c>
      <c r="G2" s="1" t="n"/>
    </row>
    <row r="3" ht="20" customHeight="1">
      <c r="A3" s="1" t="n"/>
      <c r="B3" s="3" t="inlineStr">
        <is>
          <t>Les Secrets De Geoffrey</t>
        </is>
      </c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25" customHeight="1">
      <c r="A5" s="1" t="n"/>
      <c r="B5" s="4" t="inlineStr">
        <is>
          <t>TA RECETTE D'ORIGINE</t>
        </is>
      </c>
      <c r="D5" s="1" t="n"/>
      <c r="E5" s="4" t="inlineStr">
        <is>
          <t>TON CHOCOLAT</t>
        </is>
      </c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 ht="28" customHeight="1">
      <c r="A7" s="1" t="n"/>
      <c r="B7" s="5" t="inlineStr">
        <is>
          <t>Chocolat (g)</t>
        </is>
      </c>
      <c r="C7" s="6" t="n">
        <v>200</v>
      </c>
      <c r="D7" s="1" t="n"/>
      <c r="E7" s="5" t="inlineStr">
        <is>
          <t>% cacao de ton chocolat</t>
        </is>
      </c>
      <c r="F7" s="6" t="n">
        <v>55</v>
      </c>
      <c r="G7" s="1" t="n"/>
    </row>
    <row r="8" ht="28" customHeight="1">
      <c r="A8" s="1" t="n"/>
      <c r="B8" s="5" t="inlineStr">
        <is>
          <t>Crème liquide (g)</t>
        </is>
      </c>
      <c r="C8" s="6" t="n">
        <v>200</v>
      </c>
      <c r="D8" s="1" t="n"/>
      <c r="E8" s="1" t="n"/>
      <c r="F8" s="1" t="n"/>
      <c r="G8" s="1" t="n"/>
    </row>
    <row r="9" ht="28" customHeight="1">
      <c r="A9" s="1" t="n"/>
      <c r="B9" s="5" t="inlineStr">
        <is>
          <t>Beurre (g) — optionnel</t>
        </is>
      </c>
      <c r="C9" s="6" t="n">
        <v>0</v>
      </c>
      <c r="D9" s="1" t="n"/>
      <c r="E9" s="1" t="n"/>
      <c r="F9" s="1" t="n"/>
      <c r="G9" s="1" t="n"/>
    </row>
    <row r="10" ht="28" customHeight="1">
      <c r="A10" s="1" t="n"/>
      <c r="B10" s="5" t="inlineStr">
        <is>
          <t>% cacao du chocolat de la recette</t>
        </is>
      </c>
      <c r="C10" s="6" t="n">
        <v>70</v>
      </c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 ht="25" customHeight="1">
      <c r="A12" s="1" t="n"/>
      <c r="B12" s="4" t="inlineStr">
        <is>
          <t>RÉSULTATS — TA NOUVELLE RECETTE</t>
        </is>
      </c>
      <c r="G12" s="1" t="n"/>
    </row>
    <row r="13">
      <c r="A13" s="1" t="n"/>
      <c r="B13" s="7" t="n"/>
      <c r="C13" s="7" t="n"/>
      <c r="D13" s="7" t="n"/>
      <c r="E13" s="7" t="n"/>
      <c r="F13" s="7" t="n"/>
      <c r="G13" s="1" t="n"/>
    </row>
    <row r="14" ht="28" customHeight="1">
      <c r="A14" s="1" t="n"/>
      <c r="B14" s="8" t="inlineStr">
        <is>
          <t>Chocolat</t>
        </is>
      </c>
      <c r="C14" s="9">
        <f>C7</f>
        <v/>
      </c>
      <c r="D14" s="7" t="n"/>
      <c r="E14" s="8" t="inlineStr">
        <is>
          <t>Ratio original (choco:crème)</t>
        </is>
      </c>
      <c r="F14" s="10">
        <f>IF(C8&gt;0,ROUND(C7/C8,2)&amp;" : 1","—")</f>
        <v/>
      </c>
      <c r="G14" s="1" t="n"/>
    </row>
    <row r="15" ht="28" customHeight="1">
      <c r="A15" s="1" t="n"/>
      <c r="B15" s="8" t="inlineStr">
        <is>
          <t>Crème liquide</t>
        </is>
      </c>
      <c r="C15" s="9">
        <f>ROUND(C8*(1-(C10-F7)*0.013),0)</f>
        <v/>
      </c>
      <c r="D15" s="7" t="n"/>
      <c r="E15" s="8" t="inlineStr">
        <is>
          <t>Nouveau ratio (choco:crème)</t>
        </is>
      </c>
      <c r="F15" s="11">
        <f>IF(C15&gt;0,ROUND(C7/C15,2)&amp;" : 1","—")</f>
        <v/>
      </c>
      <c r="G15" s="1" t="n"/>
    </row>
    <row r="16" ht="28" customHeight="1">
      <c r="A16" s="1" t="n"/>
      <c r="B16" s="8" t="inlineStr">
        <is>
          <t>Beurre</t>
        </is>
      </c>
      <c r="C16" s="9">
        <f>IF(C9&gt;0,ROUND(C9*(1-(C10-F7)*0.008),0),0)</f>
        <v/>
      </c>
      <c r="D16" s="7" t="n"/>
      <c r="E16" s="8" t="inlineStr">
        <is>
          <t>Variation crème</t>
        </is>
      </c>
      <c r="F16" s="11">
        <f>IF(C8&gt;0,ROUND((C15-C8)/C8*100,1)&amp;" %","—")</f>
        <v/>
      </c>
      <c r="G16" s="1" t="n"/>
    </row>
    <row r="17">
      <c r="A17" s="1" t="n"/>
      <c r="B17" s="7" t="n"/>
      <c r="C17" s="7" t="n"/>
      <c r="D17" s="7" t="n"/>
      <c r="E17" s="7" t="n"/>
      <c r="F17" s="7" t="n"/>
      <c r="G17" s="1" t="n"/>
    </row>
    <row r="18" ht="22" customHeight="1">
      <c r="A18" s="1" t="n"/>
      <c r="B18" s="12">
        <f>IF(ABS(C10-F7)&gt;25,"Gros écart — teste avec une petite quantité d'abord ! Le résultat peut varier selon les marques.",IF(ABS(C10-F7)&gt;15,"Écart notable — la texture sera légèrement différente. Ajuste la crème de +/-10g selon ton goût.","Écart faible — la conversion est fiable, fonce !"))</f>
        <v/>
      </c>
      <c r="G18" s="1" t="n"/>
    </row>
    <row r="19" ht="22" customHeight="1">
      <c r="A19" s="1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 ht="25" customHeight="1">
      <c r="A21" s="1" t="n"/>
      <c r="B21" s="4" t="inlineStr">
        <is>
          <t>RATIOS DE RÉFÉRENCE PAR TYPE DE CHOCOLAT</t>
        </is>
      </c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3" t="inlineStr">
        <is>
          <t>Type de chocolat</t>
        </is>
      </c>
      <c r="C23" s="13" t="inlineStr">
        <is>
          <t>% cacao</t>
        </is>
      </c>
      <c r="D23" s="13" t="inlineStr">
        <is>
          <t>Ratio choco : crème</t>
        </is>
      </c>
      <c r="E23" s="13" t="inlineStr">
        <is>
          <t>Crème pour 200g choco</t>
        </is>
      </c>
      <c r="F23" s="13" t="inlineStr">
        <is>
          <t>Note</t>
        </is>
      </c>
      <c r="G23" s="1" t="n"/>
    </row>
    <row r="24">
      <c r="A24" s="1" t="n"/>
      <c r="B24" s="14" t="inlineStr">
        <is>
          <t>Noir intense</t>
        </is>
      </c>
      <c r="C24" s="14" t="inlineStr">
        <is>
          <t>70-75%</t>
        </is>
      </c>
      <c r="D24" s="14" t="inlineStr">
        <is>
          <t>1 : 1</t>
        </is>
      </c>
      <c r="E24" s="14" t="inlineStr">
        <is>
          <t>200 g</t>
        </is>
      </c>
      <c r="F24" s="14" t="inlineStr">
        <is>
          <t>Classique, ganache ferme</t>
        </is>
      </c>
      <c r="G24" s="1" t="n"/>
    </row>
    <row r="25">
      <c r="A25" s="1" t="n"/>
      <c r="B25" s="15" t="inlineStr">
        <is>
          <t>Noir classique</t>
        </is>
      </c>
      <c r="C25" s="15" t="inlineStr">
        <is>
          <t>55-65%</t>
        </is>
      </c>
      <c r="D25" s="15" t="inlineStr">
        <is>
          <t>1 : 0.8</t>
        </is>
      </c>
      <c r="E25" s="15" t="inlineStr">
        <is>
          <t>160 g</t>
        </is>
      </c>
      <c r="F25" s="15" t="inlineStr">
        <is>
          <t>Réduire la crème de 20%</t>
        </is>
      </c>
      <c r="G25" s="1" t="n"/>
    </row>
    <row r="26">
      <c r="A26" s="1" t="n"/>
      <c r="B26" s="14" t="inlineStr">
        <is>
          <t>Lait</t>
        </is>
      </c>
      <c r="C26" s="14" t="inlineStr">
        <is>
          <t>33-40%</t>
        </is>
      </c>
      <c r="D26" s="14" t="inlineStr">
        <is>
          <t>2 : 1</t>
        </is>
      </c>
      <c r="E26" s="14" t="inlineStr">
        <is>
          <t>100 g</t>
        </is>
      </c>
      <c r="F26" s="14" t="inlineStr">
        <is>
          <t>Moins de crème, chocolat sucré</t>
        </is>
      </c>
      <c r="G26" s="1" t="n"/>
    </row>
    <row r="27">
      <c r="A27" s="1" t="n"/>
      <c r="B27" s="15" t="inlineStr">
        <is>
          <t>Blanc</t>
        </is>
      </c>
      <c r="C27" s="15" t="inlineStr">
        <is>
          <t>28-35%</t>
        </is>
      </c>
      <c r="D27" s="15" t="inlineStr">
        <is>
          <t>3 : 1</t>
        </is>
      </c>
      <c r="E27" s="15" t="inlineStr">
        <is>
          <t>65 g</t>
        </is>
      </c>
      <c r="F27" s="15" t="inlineStr">
        <is>
          <t>Minimum de crème</t>
        </is>
      </c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 ht="25" customHeight="1">
      <c r="A30" s="1" t="n"/>
      <c r="B30" s="4" t="inlineStr">
        <is>
          <t>ASTUCES</t>
        </is>
      </c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6" t="inlineStr">
        <is>
          <t>Si tu passes au chocolat au lait ou blanc, réduis la crème drastiquement (voir le tableau)</t>
        </is>
      </c>
      <c r="G32" s="1" t="n"/>
    </row>
    <row r="33">
      <c r="A33" s="1" t="n"/>
      <c r="B33" s="16" t="inlineStr">
        <is>
          <t>Le beurre de cacao pur (10-15g/200g) peut remplacer la réduction de crème si tu en as</t>
        </is>
      </c>
      <c r="G33" s="1" t="n"/>
    </row>
    <row r="34">
      <c r="A34" s="1" t="n"/>
      <c r="B34" s="16" t="inlineStr">
        <is>
          <t>Ne remplace JAMAIS le beurre de cacao par du beurre classique — pas la même cristallisation</t>
        </is>
      </c>
      <c r="G34" s="1" t="n"/>
    </row>
    <row r="35">
      <c r="A35" s="1" t="n"/>
      <c r="B35" s="16" t="inlineStr">
        <is>
          <t>Chaque marque de chocolat a sa propre composition — ces ratios sont des points de départ</t>
        </is>
      </c>
      <c r="G35" s="1" t="n"/>
    </row>
    <row r="36">
      <c r="A36" s="1" t="n"/>
      <c r="B36" s="16" t="inlineStr">
        <is>
          <t>En cas de doute, commence avec un peu moins de crème — tu peux toujours en rajouter</t>
        </is>
      </c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7" t="inlineStr">
        <is>
          <t>© Les Secrets De Geoffrey — www.lessecretsdegeoffrey.fr</t>
        </is>
      </c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</sheetData>
  <mergeCells count="14">
    <mergeCell ref="B21:F21"/>
    <mergeCell ref="B30:F30"/>
    <mergeCell ref="B12:F12"/>
    <mergeCell ref="B38:F38"/>
    <mergeCell ref="B2:F2"/>
    <mergeCell ref="B34:F34"/>
    <mergeCell ref="B5:C5"/>
    <mergeCell ref="B33:F33"/>
    <mergeCell ref="B35:F35"/>
    <mergeCell ref="B3:F3"/>
    <mergeCell ref="E5:F5"/>
    <mergeCell ref="B36:F36"/>
    <mergeCell ref="B32:F32"/>
    <mergeCell ref="B18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2026-04-09T11:08:21Z</dcterms:created>
  <dcterms:modified xsi:type="dcterms:W3CDTF">2026-04-09T11:08:21Z</dcterms:modified>
</cp:coreProperties>
</file>